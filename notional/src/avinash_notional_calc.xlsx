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.avinash\Desktop\CoreCommodity\Notional\"/>
    </mc:Choice>
  </mc:AlternateContent>
  <bookViews>
    <workbookView xWindow="0" yWindow="1350" windowWidth="16380" windowHeight="8190" tabRatio="500" activeTab="1"/>
  </bookViews>
  <sheets>
    <sheet name="Sheet1" sheetId="1" r:id="rId1"/>
    <sheet name="Sheet2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2" l="1"/>
  <c r="E28" i="2" l="1"/>
  <c r="C29" i="2"/>
  <c r="E29" i="2"/>
  <c r="C46" i="2"/>
  <c r="E46" i="2" s="1"/>
  <c r="C45" i="2"/>
  <c r="E45" i="2" s="1"/>
  <c r="C44" i="2"/>
  <c r="E44" i="2" s="1"/>
  <c r="C43" i="2"/>
  <c r="E43" i="2" s="1"/>
  <c r="C42" i="2"/>
  <c r="E42" i="2" s="1"/>
  <c r="C41" i="2"/>
  <c r="E41" i="2" s="1"/>
  <c r="C40" i="2"/>
  <c r="E40" i="2" s="1"/>
  <c r="C39" i="2"/>
  <c r="E39" i="2" s="1"/>
  <c r="C38" i="2"/>
  <c r="E38" i="2" s="1"/>
  <c r="C37" i="2"/>
  <c r="E37" i="2" s="1"/>
  <c r="C36" i="2"/>
  <c r="E36" i="2" s="1"/>
  <c r="C35" i="2"/>
  <c r="E35" i="2" s="1"/>
  <c r="C34" i="2"/>
  <c r="E34" i="2" s="1"/>
  <c r="C33" i="2"/>
  <c r="E33" i="2" s="1"/>
  <c r="C32" i="2"/>
  <c r="E32" i="2" s="1"/>
  <c r="C31" i="2"/>
  <c r="E31" i="2" s="1"/>
  <c r="C30" i="2"/>
  <c r="E30" i="2" s="1"/>
  <c r="N14" i="1"/>
</calcChain>
</file>

<file path=xl/sharedStrings.xml><?xml version="1.0" encoding="utf-8"?>
<sst xmlns="http://schemas.openxmlformats.org/spreadsheetml/2006/main" count="41" uniqueCount="33">
  <si>
    <t>Notionals-input</t>
  </si>
  <si>
    <t>flow</t>
  </si>
  <si>
    <t>adjustments</t>
  </si>
  <si>
    <t>trades</t>
  </si>
  <si>
    <t>pnl</t>
  </si>
  <si>
    <t>ref_data</t>
  </si>
  <si>
    <t>asofdate</t>
  </si>
  <si>
    <t xml:space="preserve">notional </t>
  </si>
  <si>
    <t>resetdate</t>
  </si>
  <si>
    <t>sma</t>
  </si>
  <si>
    <t xml:space="preserve">select  </t>
  </si>
  <si>
    <t xml:space="preserve">   '20'+substring(trade_id, 1, 2)+'-'+substring(trade_id, 3, 2)+'-'+substring(trade_id, 5, 2),</t>
  </si>
  <si>
    <t xml:space="preserve">   sum(commission_broker+commission_exchange) comm</t>
  </si>
  <si>
    <t>from jam_trades where trade_id like '2506%' and trader_changed_orig = 'BOEING'</t>
  </si>
  <si>
    <t>Notionals-output</t>
  </si>
  <si>
    <t>test case</t>
  </si>
  <si>
    <t>Program Arguments</t>
  </si>
  <si>
    <t xml:space="preserve">group by </t>
  </si>
  <si>
    <t>difference</t>
  </si>
  <si>
    <t>client</t>
  </si>
  <si>
    <t>BOEING</t>
  </si>
  <si>
    <t xml:space="preserve">   '20'+substring(trade_id, 1, 2)+'-'+substring(trade_id, 3, 2)+'-'+substring(trade_id, 5, 2)</t>
  </si>
  <si>
    <t>strategy</t>
  </si>
  <si>
    <t>OYDLS</t>
  </si>
  <si>
    <t xml:space="preserve">order by </t>
  </si>
  <si>
    <t>date start</t>
  </si>
  <si>
    <t>date end</t>
  </si>
  <si>
    <t xml:space="preserve">            02-06-2025</t>
  </si>
  <si>
    <t>com_adj</t>
  </si>
  <si>
    <t>com_trade</t>
  </si>
  <si>
    <t>int_adj</t>
  </si>
  <si>
    <t>com_include</t>
  </si>
  <si>
    <t>int_include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</si>
</sst>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\-??_);_(@_)"/>
    <numFmt numFmtId="165" formatCode="dd/mm/yy\ hh:mm"/>
    <numFmt numFmtId="166" formatCode="_(* #,##0_);_(* \(#,##0\);_(* \-??_);_(@_)"/>
    <numFmt numFmtId="167" formatCode="yyyy/mm/dd;@"/>
  </numFmts>
  <fonts count="2"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16">
    <xf numFmtId="0" fontId="0" fillId="0" borderId="0" xfId="0"/>
    <xf numFmtId="164" fontId="0" fillId="0" borderId="0" xfId="1" applyFont="1" applyBorder="1" applyAlignment="1" applyProtection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Font="1" applyAlignment="1">
      <alignment horizontal="center"/>
    </xf>
    <xf numFmtId="164" fontId="0" fillId="0" borderId="0" xfId="1" applyFont="1" applyBorder="1" applyAlignment="1" applyProtection="1">
      <alignment horizontal="center"/>
    </xf>
    <xf numFmtId="2" fontId="0" fillId="0" borderId="0" xfId="0" applyNumberFormat="1"/>
    <xf numFmtId="165" fontId="0" fillId="0" borderId="0" xfId="0" applyNumberFormat="1"/>
    <xf numFmtId="0" fontId="0" fillId="0" borderId="1" xfId="0" applyFont="1" applyBorder="1"/>
    <xf numFmtId="0" fontId="0" fillId="0" borderId="0" xfId="0" applyFont="1" applyAlignment="1">
      <alignment horizontal="right"/>
    </xf>
    <xf numFmtId="166" fontId="0" fillId="0" borderId="0" xfId="0" applyNumberFormat="1"/>
    <xf numFmtId="167" fontId="0" fillId="0" borderId="0" xfId="0" applyNumberFormat="1"/>
    <xf numFmtId="167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2:N14"/>
  <sheetViews>
    <sheetView zoomScaleNormal="100" workbookViewId="0">
      <selection activeCell="Q17" sqref="Q17"/>
    </sheetView>
  </sheetViews>
  <sheetFormatPr defaultRowHeight="14.25"/>
  <cols>
    <col min="1" max="13" width="8.625" customWidth="1"/>
    <col min="14" max="14" width="11.625" customWidth="1"/>
    <col min="15" max="1025" width="8.625" customWidth="1"/>
  </cols>
  <sheetData>
    <row r="12" spans="14:14">
      <c r="N12" s="1">
        <v>548454</v>
      </c>
    </row>
    <row r="13" spans="14:14">
      <c r="N13">
        <v>81</v>
      </c>
    </row>
    <row r="14" spans="14:14">
      <c r="N14" s="2">
        <f>N12/N13</f>
        <v>6771.0370370370374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tabSelected="1" topLeftCell="J1" zoomScale="80" zoomScaleNormal="80" workbookViewId="0">
      <selection activeCell="S2" sqref="S2:U2"/>
    </sheetView>
  </sheetViews>
  <sheetFormatPr defaultRowHeight="14.25"/>
  <cols>
    <col min="1" max="1" width="8.625" customWidth="1"/>
    <col min="2" max="2" width="16.25" style="12" customWidth="1"/>
    <col min="3" max="3" width="15.125" style="1" customWidth="1"/>
    <col min="4" max="4" width="13.875" customWidth="1"/>
    <col min="5" max="5" width="12.25" customWidth="1"/>
    <col min="6" max="6" width="13" customWidth="1"/>
    <col min="7" max="7" width="8.625" customWidth="1"/>
    <col min="8" max="8" width="11.875" customWidth="1"/>
    <col min="9" max="9" width="12.625" customWidth="1"/>
    <col min="10" max="10" width="12.25" customWidth="1"/>
    <col min="11" max="11" width="8.625" customWidth="1"/>
    <col min="12" max="12" width="17.125" style="12" customWidth="1"/>
    <col min="13" max="13" width="10.125" style="1" customWidth="1"/>
    <col min="14" max="14" width="8.625" customWidth="1"/>
    <col min="15" max="15" width="16.375" style="12" customWidth="1"/>
    <col min="16" max="16" width="14.875" style="1" customWidth="1"/>
    <col min="17" max="18" width="8.625" customWidth="1"/>
    <col min="19" max="19" width="15.875" customWidth="1"/>
    <col min="20" max="20" width="18.75" customWidth="1"/>
    <col min="21" max="1025" width="8.625" customWidth="1"/>
  </cols>
  <sheetData>
    <row r="2" spans="2:21">
      <c r="B2" s="15" t="s">
        <v>0</v>
      </c>
      <c r="C2" s="15"/>
      <c r="E2" s="14" t="s">
        <v>1</v>
      </c>
      <c r="F2" s="14"/>
      <c r="H2" s="14" t="s">
        <v>2</v>
      </c>
      <c r="I2" s="14"/>
      <c r="J2" s="14"/>
      <c r="L2" s="14" t="s">
        <v>3</v>
      </c>
      <c r="M2" s="14"/>
      <c r="O2" s="14" t="s">
        <v>4</v>
      </c>
      <c r="P2" s="14"/>
      <c r="S2" s="14" t="s">
        <v>5</v>
      </c>
      <c r="T2" s="14"/>
      <c r="U2" s="14"/>
    </row>
    <row r="3" spans="2:21" s="4" customFormat="1">
      <c r="B3" s="13" t="s">
        <v>6</v>
      </c>
      <c r="C3" s="6" t="s">
        <v>7</v>
      </c>
      <c r="E3" s="4" t="s">
        <v>8</v>
      </c>
      <c r="F3" s="4" t="s">
        <v>1</v>
      </c>
      <c r="H3" s="5" t="s">
        <v>6</v>
      </c>
      <c r="I3" s="4" t="s">
        <v>28</v>
      </c>
      <c r="J3" s="4" t="s">
        <v>30</v>
      </c>
      <c r="L3" s="13" t="s">
        <v>6</v>
      </c>
      <c r="M3" s="4" t="s">
        <v>29</v>
      </c>
      <c r="O3" s="13" t="s">
        <v>6</v>
      </c>
      <c r="P3" s="6" t="s">
        <v>4</v>
      </c>
      <c r="S3" s="4" t="s">
        <v>31</v>
      </c>
      <c r="T3" s="4" t="s">
        <v>32</v>
      </c>
      <c r="U3" s="4" t="s">
        <v>9</v>
      </c>
    </row>
    <row r="4" spans="2:21">
      <c r="B4" s="12">
        <v>45810</v>
      </c>
      <c r="F4" s="7"/>
      <c r="I4" s="7"/>
      <c r="J4" s="7"/>
      <c r="L4" s="13" t="s">
        <v>27</v>
      </c>
      <c r="M4" s="6">
        <v>32.83</v>
      </c>
      <c r="O4" s="12">
        <v>45810</v>
      </c>
      <c r="P4" s="1">
        <v>1367397.9</v>
      </c>
      <c r="S4">
        <v>0</v>
      </c>
      <c r="T4">
        <v>1</v>
      </c>
      <c r="U4">
        <v>1</v>
      </c>
    </row>
    <row r="5" spans="2:21">
      <c r="B5" s="12">
        <v>45811</v>
      </c>
      <c r="C5" s="1">
        <v>62521636.170000002</v>
      </c>
      <c r="F5" s="7"/>
      <c r="I5" s="7"/>
      <c r="J5" s="7"/>
      <c r="O5" s="12">
        <v>45811</v>
      </c>
      <c r="P5" s="1">
        <v>297081.13</v>
      </c>
    </row>
    <row r="6" spans="2:21">
      <c r="B6" s="12">
        <v>45812</v>
      </c>
      <c r="C6" s="1">
        <v>62818717.299999997</v>
      </c>
      <c r="F6" s="7"/>
      <c r="I6" s="7"/>
      <c r="J6" s="7"/>
      <c r="L6" s="12">
        <v>45812</v>
      </c>
      <c r="M6" s="1">
        <v>14.7</v>
      </c>
      <c r="O6" s="12">
        <v>45812</v>
      </c>
      <c r="P6" s="1">
        <v>-74043.509999999995</v>
      </c>
    </row>
    <row r="7" spans="2:21">
      <c r="B7" s="12">
        <v>45813</v>
      </c>
      <c r="C7" s="1">
        <v>62744673.789999999</v>
      </c>
      <c r="F7" s="7"/>
      <c r="I7" s="7"/>
      <c r="J7" s="7"/>
      <c r="O7" s="12">
        <v>45813</v>
      </c>
      <c r="P7" s="1">
        <v>374457.79</v>
      </c>
    </row>
    <row r="8" spans="2:21">
      <c r="B8" s="12">
        <v>45814</v>
      </c>
      <c r="C8" s="1">
        <v>63119131.579999998</v>
      </c>
      <c r="F8" s="7"/>
      <c r="I8" s="7"/>
      <c r="J8" s="7"/>
      <c r="L8" s="12">
        <v>45814</v>
      </c>
      <c r="M8" s="1">
        <v>2587.84</v>
      </c>
      <c r="O8" s="12">
        <v>45814</v>
      </c>
      <c r="P8" s="1">
        <v>411317.38</v>
      </c>
    </row>
    <row r="9" spans="2:21">
      <c r="B9" s="12">
        <v>45817</v>
      </c>
      <c r="C9" s="1">
        <v>63530448.960000001</v>
      </c>
      <c r="F9" s="7"/>
      <c r="I9" s="7"/>
      <c r="J9" s="7"/>
      <c r="L9" s="12">
        <v>45817</v>
      </c>
      <c r="M9" s="1">
        <v>2362.48</v>
      </c>
      <c r="O9" s="12">
        <v>45817</v>
      </c>
      <c r="P9" s="1">
        <v>-3809.76</v>
      </c>
    </row>
    <row r="10" spans="2:21">
      <c r="B10" s="12">
        <v>45818</v>
      </c>
      <c r="C10" s="1">
        <v>63526639.200000003</v>
      </c>
      <c r="F10" s="7"/>
      <c r="H10" s="12"/>
      <c r="I10" s="7"/>
      <c r="J10" s="7"/>
      <c r="L10" s="12">
        <v>45818</v>
      </c>
      <c r="M10" s="1">
        <v>2271.46</v>
      </c>
      <c r="N10" s="8"/>
      <c r="O10" s="12">
        <v>45818</v>
      </c>
      <c r="P10" s="1">
        <v>-251529.28</v>
      </c>
    </row>
    <row r="11" spans="2:21">
      <c r="B11" s="12">
        <v>45819</v>
      </c>
      <c r="C11" s="1">
        <v>63275109.920000002</v>
      </c>
      <c r="F11" s="7"/>
      <c r="I11" s="7"/>
      <c r="J11" s="7"/>
      <c r="L11" s="12">
        <v>45819</v>
      </c>
      <c r="M11" s="1">
        <v>2132.06</v>
      </c>
      <c r="N11" s="8"/>
      <c r="O11" s="12">
        <v>45819</v>
      </c>
      <c r="P11" s="1">
        <v>417087.15</v>
      </c>
    </row>
    <row r="12" spans="2:21">
      <c r="B12" s="12">
        <v>45820</v>
      </c>
      <c r="C12" s="1">
        <v>63692197.07</v>
      </c>
      <c r="F12" s="7"/>
      <c r="I12" s="7"/>
      <c r="J12" s="7"/>
      <c r="L12" s="12">
        <v>45820</v>
      </c>
      <c r="M12" s="1">
        <v>2148.4499999999998</v>
      </c>
      <c r="N12" s="8"/>
      <c r="O12" s="12">
        <v>45820</v>
      </c>
      <c r="P12" s="1">
        <v>-104236.56</v>
      </c>
    </row>
    <row r="13" spans="2:21">
      <c r="B13" s="12">
        <v>45821</v>
      </c>
      <c r="C13" s="1">
        <v>63587960.509999998</v>
      </c>
      <c r="F13" s="7"/>
      <c r="I13" s="7"/>
      <c r="J13" s="7"/>
      <c r="L13" s="12">
        <v>45821</v>
      </c>
      <c r="M13" s="1">
        <v>101.48</v>
      </c>
      <c r="N13" s="8"/>
      <c r="O13" s="12">
        <v>45821</v>
      </c>
      <c r="P13" s="1">
        <v>1461335.33</v>
      </c>
    </row>
    <row r="14" spans="2:21">
      <c r="B14" s="12">
        <v>45824</v>
      </c>
      <c r="C14" s="1">
        <v>65049295.840000004</v>
      </c>
      <c r="F14" s="7"/>
      <c r="I14" s="7"/>
      <c r="J14" s="7"/>
      <c r="L14" s="12">
        <v>45824</v>
      </c>
      <c r="M14" s="1">
        <v>5.04</v>
      </c>
      <c r="O14" s="12">
        <v>45824</v>
      </c>
      <c r="P14" s="1">
        <v>280381.53000000003</v>
      </c>
    </row>
    <row r="15" spans="2:21">
      <c r="B15" s="12">
        <v>45825</v>
      </c>
      <c r="C15" s="1">
        <v>65329677.369999997</v>
      </c>
      <c r="F15" s="7"/>
      <c r="I15" s="7"/>
      <c r="J15" s="7"/>
      <c r="L15" s="12">
        <v>45825</v>
      </c>
      <c r="M15" s="1">
        <v>5.04</v>
      </c>
      <c r="O15" s="12">
        <v>45825</v>
      </c>
      <c r="P15" s="1">
        <v>966465.85</v>
      </c>
    </row>
    <row r="16" spans="2:21">
      <c r="B16" s="12">
        <v>45826</v>
      </c>
      <c r="C16" s="1">
        <v>66296143.219999999</v>
      </c>
      <c r="F16" s="7"/>
      <c r="I16" s="7"/>
      <c r="J16" s="7"/>
      <c r="L16" s="12">
        <v>45826</v>
      </c>
      <c r="M16" s="1">
        <v>7.56</v>
      </c>
      <c r="O16" s="12">
        <v>45826</v>
      </c>
      <c r="P16" s="1">
        <v>385266.62</v>
      </c>
    </row>
    <row r="17" spans="2:21">
      <c r="B17" s="12">
        <v>45828</v>
      </c>
      <c r="C17" s="1">
        <v>66681409.840000004</v>
      </c>
      <c r="F17" s="7"/>
      <c r="I17" s="7"/>
      <c r="J17" s="7"/>
      <c r="L17" s="12">
        <v>45828</v>
      </c>
      <c r="M17" s="1">
        <v>9.66</v>
      </c>
      <c r="O17" s="12">
        <v>45828</v>
      </c>
      <c r="P17" s="1">
        <v>-366725.2</v>
      </c>
    </row>
    <row r="18" spans="2:21">
      <c r="B18" s="12">
        <v>45831</v>
      </c>
      <c r="C18" s="1">
        <v>66314684.640000001</v>
      </c>
      <c r="F18" s="7"/>
      <c r="I18" s="7"/>
      <c r="J18" s="7"/>
      <c r="O18" s="12">
        <v>45831</v>
      </c>
      <c r="P18" s="1">
        <v>-1263506.78</v>
      </c>
    </row>
    <row r="19" spans="2:21">
      <c r="B19" s="12">
        <v>45832</v>
      </c>
      <c r="C19" s="1">
        <v>65051177.859999999</v>
      </c>
      <c r="F19" s="7"/>
      <c r="I19" s="7"/>
      <c r="J19" s="7"/>
      <c r="L19" s="12">
        <v>45832</v>
      </c>
      <c r="M19" s="1">
        <v>12.6</v>
      </c>
      <c r="O19" s="12">
        <v>45832</v>
      </c>
      <c r="P19" s="1">
        <v>-1686831.8</v>
      </c>
    </row>
    <row r="20" spans="2:21">
      <c r="B20" s="12">
        <v>45833</v>
      </c>
      <c r="C20" s="1">
        <v>63364346.060000002</v>
      </c>
      <c r="F20" s="7"/>
      <c r="I20" s="7"/>
      <c r="J20" s="7"/>
      <c r="O20" s="12">
        <v>45833</v>
      </c>
      <c r="P20" s="1">
        <v>-141064.34</v>
      </c>
    </row>
    <row r="21" spans="2:21">
      <c r="B21" s="12">
        <v>45834</v>
      </c>
      <c r="C21" s="1">
        <v>63223281.719999999</v>
      </c>
      <c r="F21" s="7"/>
      <c r="I21" s="7"/>
      <c r="J21" s="7"/>
      <c r="L21" s="12">
        <v>45834</v>
      </c>
      <c r="M21" s="1">
        <v>52.4</v>
      </c>
      <c r="O21" s="12">
        <v>45834</v>
      </c>
      <c r="P21" s="1">
        <v>305932.68</v>
      </c>
    </row>
    <row r="22" spans="2:21">
      <c r="B22" s="12">
        <v>45835</v>
      </c>
      <c r="C22" s="1">
        <v>63529214.399999999</v>
      </c>
      <c r="F22" s="7"/>
      <c r="I22" s="7"/>
      <c r="J22" s="7"/>
      <c r="M22" s="1">
        <v>0</v>
      </c>
      <c r="O22" s="12">
        <v>45835</v>
      </c>
      <c r="P22" s="1">
        <v>260143.6</v>
      </c>
      <c r="U22" t="s">
        <v>10</v>
      </c>
    </row>
    <row r="23" spans="2:21">
      <c r="B23" s="12">
        <v>45838</v>
      </c>
      <c r="C23" s="1">
        <v>63789358</v>
      </c>
      <c r="E23" s="3">
        <v>45838</v>
      </c>
      <c r="F23" s="1">
        <v>-322390.17</v>
      </c>
      <c r="H23" s="3">
        <v>45838</v>
      </c>
      <c r="I23" s="1">
        <v>26.18</v>
      </c>
      <c r="J23" s="1">
        <v>213774.24</v>
      </c>
      <c r="L23" s="12">
        <v>45838</v>
      </c>
      <c r="M23" s="1">
        <v>78.599999999999994</v>
      </c>
      <c r="O23" s="12">
        <v>45838</v>
      </c>
      <c r="P23" s="1">
        <v>-580235.18999999994</v>
      </c>
      <c r="U23" t="s">
        <v>11</v>
      </c>
    </row>
    <row r="24" spans="2:21">
      <c r="C24" s="1">
        <v>63100506.880000003</v>
      </c>
      <c r="U24" t="s">
        <v>12</v>
      </c>
    </row>
    <row r="25" spans="2:21">
      <c r="U25" t="s">
        <v>13</v>
      </c>
    </row>
    <row r="26" spans="2:21">
      <c r="B26" s="15" t="s">
        <v>14</v>
      </c>
      <c r="C26" s="15"/>
      <c r="E26" s="9" t="s">
        <v>15</v>
      </c>
      <c r="H26" s="14" t="s">
        <v>16</v>
      </c>
      <c r="I26" s="14"/>
      <c r="U26" t="s">
        <v>17</v>
      </c>
    </row>
    <row r="27" spans="2:21">
      <c r="B27" s="13" t="s">
        <v>6</v>
      </c>
      <c r="C27" s="6" t="s">
        <v>7</v>
      </c>
      <c r="E27" t="s">
        <v>18</v>
      </c>
      <c r="H27" t="s">
        <v>19</v>
      </c>
      <c r="I27" s="10" t="s">
        <v>20</v>
      </c>
      <c r="U27" t="s">
        <v>21</v>
      </c>
    </row>
    <row r="28" spans="2:21">
      <c r="B28" s="12">
        <v>45811</v>
      </c>
      <c r="C28" s="1">
        <f>C5+F5+I5*$S$4+J5*$T$4-M5*$S$4+P5</f>
        <v>62818717.300000004</v>
      </c>
      <c r="D28" s="11"/>
      <c r="E28" s="7">
        <f t="shared" ref="E28:E46" si="0">C28-C6</f>
        <v>0</v>
      </c>
      <c r="H28" t="s">
        <v>22</v>
      </c>
      <c r="I28" s="10" t="s">
        <v>23</v>
      </c>
      <c r="U28" t="s">
        <v>24</v>
      </c>
    </row>
    <row r="29" spans="2:21">
      <c r="B29" s="12">
        <v>45812</v>
      </c>
      <c r="C29" s="1">
        <f t="shared" ref="C29:C46" si="1">C6+F6+I6*$S$4+J6*$T$4-M6*$S$4+P6</f>
        <v>62744673.789999999</v>
      </c>
      <c r="E29" s="7">
        <f t="shared" si="0"/>
        <v>0</v>
      </c>
      <c r="H29" t="s">
        <v>25</v>
      </c>
      <c r="I29" s="3">
        <v>45809</v>
      </c>
      <c r="U29" t="s">
        <v>21</v>
      </c>
    </row>
    <row r="30" spans="2:21">
      <c r="B30" s="12">
        <v>45813</v>
      </c>
      <c r="C30" s="1">
        <f t="shared" si="1"/>
        <v>63119131.579999998</v>
      </c>
      <c r="E30" s="7">
        <f t="shared" si="0"/>
        <v>0</v>
      </c>
      <c r="H30" t="s">
        <v>26</v>
      </c>
      <c r="I30" s="3">
        <v>45838</v>
      </c>
    </row>
    <row r="31" spans="2:21">
      <c r="B31" s="12">
        <v>45814</v>
      </c>
      <c r="C31" s="1">
        <f t="shared" si="1"/>
        <v>63530448.960000001</v>
      </c>
      <c r="E31" s="7">
        <f t="shared" si="0"/>
        <v>0</v>
      </c>
    </row>
    <row r="32" spans="2:21">
      <c r="B32" s="12">
        <v>45817</v>
      </c>
      <c r="C32" s="1">
        <f t="shared" si="1"/>
        <v>63526639.200000003</v>
      </c>
      <c r="E32" s="7">
        <f t="shared" si="0"/>
        <v>0</v>
      </c>
    </row>
    <row r="33" spans="2:5">
      <c r="B33" s="12">
        <v>45818</v>
      </c>
      <c r="C33" s="1">
        <f t="shared" si="1"/>
        <v>63275109.920000002</v>
      </c>
      <c r="E33" s="7">
        <f t="shared" si="0"/>
        <v>0</v>
      </c>
    </row>
    <row r="34" spans="2:5">
      <c r="B34" s="12">
        <v>45819</v>
      </c>
      <c r="C34" s="1">
        <f t="shared" si="1"/>
        <v>63692197.07</v>
      </c>
      <c r="E34" s="7">
        <f t="shared" si="0"/>
        <v>0</v>
      </c>
    </row>
    <row r="35" spans="2:5">
      <c r="B35" s="12">
        <v>45820</v>
      </c>
      <c r="C35" s="1">
        <f t="shared" si="1"/>
        <v>63587960.509999998</v>
      </c>
      <c r="E35" s="7">
        <f t="shared" si="0"/>
        <v>0</v>
      </c>
    </row>
    <row r="36" spans="2:5">
      <c r="B36" s="12">
        <v>45821</v>
      </c>
      <c r="C36" s="1">
        <f t="shared" si="1"/>
        <v>65049295.839999996</v>
      </c>
      <c r="E36" s="7">
        <f t="shared" si="0"/>
        <v>0</v>
      </c>
    </row>
    <row r="37" spans="2:5">
      <c r="B37" s="12">
        <v>45824</v>
      </c>
      <c r="C37" s="1">
        <f t="shared" si="1"/>
        <v>65329677.370000005</v>
      </c>
      <c r="E37" s="7">
        <f t="shared" si="0"/>
        <v>0</v>
      </c>
    </row>
    <row r="38" spans="2:5">
      <c r="B38" s="12">
        <v>45825</v>
      </c>
      <c r="C38" s="1">
        <f t="shared" si="1"/>
        <v>66296143.219999999</v>
      </c>
      <c r="E38" s="7">
        <f t="shared" si="0"/>
        <v>0</v>
      </c>
    </row>
    <row r="39" spans="2:5">
      <c r="B39" s="12">
        <v>45826</v>
      </c>
      <c r="C39" s="1">
        <f t="shared" si="1"/>
        <v>66681409.839999996</v>
      </c>
      <c r="E39" s="7">
        <f t="shared" si="0"/>
        <v>0</v>
      </c>
    </row>
    <row r="40" spans="2:5">
      <c r="B40" s="12">
        <v>45828</v>
      </c>
      <c r="C40" s="1">
        <f t="shared" si="1"/>
        <v>66314684.640000001</v>
      </c>
      <c r="E40" s="7">
        <f t="shared" si="0"/>
        <v>0</v>
      </c>
    </row>
    <row r="41" spans="2:5">
      <c r="B41" s="12">
        <v>45831</v>
      </c>
      <c r="C41" s="1">
        <f t="shared" si="1"/>
        <v>65051177.859999999</v>
      </c>
      <c r="E41" s="7">
        <f t="shared" si="0"/>
        <v>0</v>
      </c>
    </row>
    <row r="42" spans="2:5">
      <c r="B42" s="12">
        <v>45832</v>
      </c>
      <c r="C42" s="1">
        <f t="shared" si="1"/>
        <v>63364346.060000002</v>
      </c>
      <c r="E42" s="7">
        <f t="shared" si="0"/>
        <v>0</v>
      </c>
    </row>
    <row r="43" spans="2:5">
      <c r="B43" s="12">
        <v>45833</v>
      </c>
      <c r="C43" s="1">
        <f t="shared" si="1"/>
        <v>63223281.719999999</v>
      </c>
      <c r="E43" s="7">
        <f t="shared" si="0"/>
        <v>0</v>
      </c>
    </row>
    <row r="44" spans="2:5">
      <c r="B44" s="12">
        <v>45834</v>
      </c>
      <c r="C44" s="1">
        <f t="shared" si="1"/>
        <v>63529214.399999999</v>
      </c>
      <c r="E44" s="7">
        <f t="shared" si="0"/>
        <v>0</v>
      </c>
    </row>
    <row r="45" spans="2:5">
      <c r="B45" s="12">
        <v>45835</v>
      </c>
      <c r="C45" s="1">
        <f t="shared" si="1"/>
        <v>63789358</v>
      </c>
      <c r="E45" s="7">
        <f t="shared" si="0"/>
        <v>0</v>
      </c>
    </row>
    <row r="46" spans="2:5">
      <c r="B46" s="12">
        <v>45838</v>
      </c>
      <c r="C46" s="1">
        <f t="shared" si="1"/>
        <v>63100506.880000003</v>
      </c>
      <c r="E46" s="7">
        <f t="shared" si="0"/>
        <v>0</v>
      </c>
    </row>
  </sheetData>
  <mergeCells count="8">
    <mergeCell ref="S2:U2"/>
    <mergeCell ref="B26:C26"/>
    <mergeCell ref="H26:I26"/>
    <mergeCell ref="B2:C2"/>
    <mergeCell ref="E2:F2"/>
    <mergeCell ref="H2:J2"/>
    <mergeCell ref="L2:M2"/>
    <mergeCell ref="O2:P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Dibyendu Majumder</dc:creator>
  <dc:description/>
  <cp:lastModifiedBy>Y Avinash</cp:lastModifiedBy>
  <cp:revision>1</cp:revision>
  <dcterms:created xsi:type="dcterms:W3CDTF">2025-07-21T19:22:06Z</dcterms:created>
  <dcterms:modified xsi:type="dcterms:W3CDTF">2025-08-14T13:54:50Z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